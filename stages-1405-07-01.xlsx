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iwaj\new erp\"/>
    </mc:Choice>
  </mc:AlternateContent>
  <xr:revisionPtr revIDLastSave="0" documentId="13_ncr:1_{CAFF35D5-A44E-4228-8CFF-018A6C35A2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مراحل تولی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<sst xmlns="http://schemas.openxmlformats.org/spreadsheetml/2006/main" count="68" uniqueCount="38">
  <si>
    <t>#</t>
  </si>
  <si>
    <t>مرحله</t>
  </si>
  <si>
    <t>متراژ می‌گیرد؟</t>
  </si>
  <si>
    <t>نیرو لازم دارد؟</t>
  </si>
  <si>
    <t>کنترل/تأیید ناظر؟</t>
  </si>
  <si>
    <t>ضریب اهمیت</t>
  </si>
  <si>
    <t>ضریب زمان</t>
  </si>
  <si>
    <t>ضریب نهایی</t>
  </si>
  <si>
    <t>ردیف کار</t>
  </si>
  <si>
    <t>ساعت ثبت‌شده</t>
  </si>
  <si>
    <t>متراژ ثبت‌شده</t>
  </si>
  <si>
    <t>ساعت بر متر چوب</t>
  </si>
  <si>
    <t>خیر</t>
  </si>
  <si>
    <t>بله</t>
  </si>
  <si>
    <t>میخ سنبه و بتونه و رفع ایرادات</t>
  </si>
  <si>
    <t>پرداخت قبل از استر</t>
  </si>
  <si>
    <t>پرایمر MDF یا استر دست اول</t>
  </si>
  <si>
    <t>پرداخت میانی</t>
  </si>
  <si>
    <t>استر لایه دوم</t>
  </si>
  <si>
    <t>پرداخت قبل از رنگ</t>
  </si>
  <si>
    <t>رنگ رویه</t>
  </si>
  <si>
    <t>بازدید و رفع ایراد جزئی</t>
  </si>
  <si>
    <t>رنگ نهایی</t>
  </si>
  <si>
    <t>بسته‌بندی و ارسال</t>
  </si>
  <si>
    <t>سایر</t>
  </si>
  <si>
    <t>راهنما</t>
  </si>
  <si>
    <t>ستون‌های زرد را شما پر می‌کنید؛ خاکستری‌ها از دادهٔ واقعی سایت‌اند و فقط مرجع‌اند.</t>
  </si>
  <si>
    <t>ضریب اهمیت: مرحله چقدر در کیفیت کار نهایی وزن دارد. پیشنهاد: ۱ تا ۵.</t>
  </si>
  <si>
    <t>ضریب زمان: چند برابرِ سبک‌ترین مرحله وقت می‌برد. ستون از «ساعت بر متر چوب» پر شده،</t>
  </si>
  <si>
    <t xml:space="preserve">    ولی هر جا لازم بود عوضش کنید — «پرداخت قبل از استر» هنوز سابقه‌ای ندارد.</t>
  </si>
  <si>
    <t>ضریب نهایی: خودکار = ضریب اهمیت × ضریب زمان. اگر فرمول دیگری می‌خواهید بگویید.</t>
  </si>
  <si>
    <t>«نیرو لازم دارد؟» و «کنترل/تأیید ناظر؟» هم پیشنهاد اولیه‌اند و قابل تغییرند.</t>
  </si>
  <si>
    <t>خشک‌کن تنها مرحله‌ای است که «خیر» گرفته — کار می‌خوابد، نیرو نمی‌خواهد.</t>
  </si>
  <si>
    <t>اعداد مرجع از گزارش‌های تأییدشدهٔ ۱ مرداد تا امروز است.</t>
  </si>
  <si>
    <t>«پرداخت قبل از استر»، «استر لایه دوم»، «پرداخت قبل از رنگ»، «رنگ نهایی»،</t>
  </si>
  <si>
    <t xml:space="preserve">    «بازدید»ها و «QC» و «بسته‌بندی» هنوز هیچ سابقه‌ای ندارند، پس ستون‌های</t>
  </si>
  <si>
    <t xml:space="preserve">    مرجعشان خالی است.</t>
  </si>
  <si>
    <t>بسته به شرایط بله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</si>
</sst>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  <font>
      <b/>
      <sz val="12"/>
      <color rgb="FF1F5C4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5C4D"/>
      </patternFill>
    </fill>
    <fill>
      <patternFill patternType="solid">
        <fgColor rgb="FFFFF3D6"/>
      </patternFill>
    </fill>
    <fill>
      <patternFill patternType="solid">
        <fgColor rgb="FFE3F1EC"/>
      </patternFill>
    </fill>
    <fill>
      <patternFill patternType="solid">
        <fgColor rgb="FFEFF2F5"/>
      </patternFill>
    </fill>
  </fills>
  <borders count="3">
    <border>
      <left/>
      <right/>
      <top/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  <border>
      <left style="thin">
        <color rgb="FFC8D0D8"/>
      </left>
      <right style="thin">
        <color rgb="FFC8D0D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rightToLeft="1" tabSelected="1" workbookViewId="0">
      <pane ySplit="1" topLeftCell="A2" activePane="bottomLeft" state="frozen"/>
      <selection pane="bottomLeft" activeCell="A2" sqref="A2:L12"/>
    </sheetView>
  </sheetViews>
  <sheetFormatPr defaultRowHeight="14.4" x14ac:dyDescent="0.3"/>
  <cols>
    <col min="1" max="1" width="5" customWidth="1"/>
    <col min="2" max="2" width="34" customWidth="1"/>
    <col min="3" max="3" width="15" customWidth="1"/>
    <col min="4" max="4" width="16" customWidth="1"/>
    <col min="5" max="5" width="18" customWidth="1"/>
    <col min="6" max="6" width="13" customWidth="1"/>
    <col min="7" max="7" width="12" customWidth="1"/>
    <col min="8" max="8" width="13" customWidth="1"/>
    <col min="9" max="9" width="11" customWidth="1"/>
    <col min="10" max="11" width="14" customWidth="1"/>
    <col min="12" max="12" width="16" customWidth="1"/>
  </cols>
  <sheetData>
    <row r="1" spans="1:12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05" customHeight="1" x14ac:dyDescent="0.3">
      <c r="A2" s="2">
        <v>2</v>
      </c>
      <c r="B2" s="3" t="s">
        <v>14</v>
      </c>
      <c r="C2" s="2" t="s">
        <v>13</v>
      </c>
      <c r="D2" s="2" t="s">
        <v>13</v>
      </c>
      <c r="E2" s="2" t="s">
        <v>12</v>
      </c>
      <c r="F2" s="4">
        <v>2</v>
      </c>
      <c r="G2" s="4">
        <v>10</v>
      </c>
      <c r="H2" s="5">
        <f t="shared" ref="H2:H12" si="0">IF(AND(F2&lt;&gt;"",G2&lt;&gt;""),ROUND(F2*G2,2),"")</f>
        <v>20</v>
      </c>
      <c r="I2" s="6"/>
      <c r="J2" s="6"/>
      <c r="K2" s="6"/>
      <c r="L2" s="6"/>
    </row>
    <row r="3" spans="1:12" ht="22.05" customHeight="1" x14ac:dyDescent="0.3">
      <c r="A3" s="2">
        <v>3</v>
      </c>
      <c r="B3" s="3" t="s">
        <v>15</v>
      </c>
      <c r="C3" s="2" t="s">
        <v>13</v>
      </c>
      <c r="D3" s="2" t="s">
        <v>13</v>
      </c>
      <c r="E3" s="2" t="s">
        <v>12</v>
      </c>
      <c r="F3" s="4">
        <v>5</v>
      </c>
      <c r="G3" s="4">
        <v>15</v>
      </c>
      <c r="H3" s="5">
        <f t="shared" si="0"/>
        <v>75</v>
      </c>
      <c r="I3" s="6"/>
      <c r="J3" s="6"/>
      <c r="K3" s="6"/>
      <c r="L3" s="6"/>
    </row>
    <row r="4" spans="1:12" ht="22.05" customHeight="1" x14ac:dyDescent="0.3">
      <c r="A4" s="2">
        <v>4</v>
      </c>
      <c r="B4" s="3" t="s">
        <v>16</v>
      </c>
      <c r="C4" s="2" t="s">
        <v>13</v>
      </c>
      <c r="D4" s="2" t="s">
        <v>13</v>
      </c>
      <c r="E4" s="2" t="s">
        <v>12</v>
      </c>
      <c r="F4" s="4">
        <v>1</v>
      </c>
      <c r="G4" s="4">
        <v>10</v>
      </c>
      <c r="H4" s="5">
        <f t="shared" si="0"/>
        <v>10</v>
      </c>
      <c r="I4" s="6"/>
      <c r="J4" s="6"/>
      <c r="K4" s="6"/>
      <c r="L4" s="6"/>
    </row>
    <row r="5" spans="1:12" ht="22.05" customHeight="1" x14ac:dyDescent="0.3">
      <c r="A5" s="2">
        <v>5</v>
      </c>
      <c r="B5" s="3" t="s">
        <v>17</v>
      </c>
      <c r="C5" s="2" t="s">
        <v>13</v>
      </c>
      <c r="D5" s="2" t="s">
        <v>13</v>
      </c>
      <c r="E5" s="2" t="s">
        <v>12</v>
      </c>
      <c r="F5" s="4">
        <v>4</v>
      </c>
      <c r="G5" s="4">
        <v>12.5</v>
      </c>
      <c r="H5" s="5">
        <f t="shared" si="0"/>
        <v>50</v>
      </c>
      <c r="I5" s="6"/>
      <c r="J5" s="6"/>
      <c r="K5" s="6"/>
      <c r="L5" s="6"/>
    </row>
    <row r="6" spans="1:12" ht="22.05" customHeight="1" x14ac:dyDescent="0.3">
      <c r="A6" s="2">
        <v>6</v>
      </c>
      <c r="B6" s="3" t="s">
        <v>18</v>
      </c>
      <c r="C6" s="2" t="s">
        <v>13</v>
      </c>
      <c r="D6" s="2" t="s">
        <v>13</v>
      </c>
      <c r="E6" s="2" t="s">
        <v>12</v>
      </c>
      <c r="F6" s="4">
        <v>1</v>
      </c>
      <c r="G6" s="4">
        <v>10</v>
      </c>
      <c r="H6" s="5">
        <f t="shared" si="0"/>
        <v>10</v>
      </c>
      <c r="I6" s="6"/>
      <c r="J6" s="6"/>
      <c r="K6" s="6"/>
      <c r="L6" s="6"/>
    </row>
    <row r="7" spans="1:12" ht="22.05" customHeight="1" x14ac:dyDescent="0.3">
      <c r="A7" s="2">
        <v>7</v>
      </c>
      <c r="B7" s="3" t="s">
        <v>19</v>
      </c>
      <c r="C7" s="2" t="s">
        <v>13</v>
      </c>
      <c r="D7" s="2" t="s">
        <v>13</v>
      </c>
      <c r="E7" s="2" t="s">
        <v>12</v>
      </c>
      <c r="F7" s="4">
        <v>3</v>
      </c>
      <c r="G7" s="4">
        <v>12.5</v>
      </c>
      <c r="H7" s="5">
        <f t="shared" si="0"/>
        <v>37.5</v>
      </c>
      <c r="I7" s="6"/>
      <c r="J7" s="6"/>
      <c r="K7" s="6"/>
      <c r="L7" s="6"/>
    </row>
    <row r="8" spans="1:12" ht="22.05" customHeight="1" x14ac:dyDescent="0.3">
      <c r="A8" s="2">
        <v>8</v>
      </c>
      <c r="B8" s="3" t="s">
        <v>20</v>
      </c>
      <c r="C8" s="2" t="s">
        <v>13</v>
      </c>
      <c r="D8" s="2" t="s">
        <v>13</v>
      </c>
      <c r="E8" s="2" t="s">
        <v>12</v>
      </c>
      <c r="F8" s="4">
        <v>2</v>
      </c>
      <c r="G8" s="4">
        <v>10</v>
      </c>
      <c r="H8" s="5">
        <f t="shared" si="0"/>
        <v>20</v>
      </c>
      <c r="I8" s="6"/>
      <c r="J8" s="6"/>
      <c r="K8" s="6"/>
      <c r="L8" s="6"/>
    </row>
    <row r="9" spans="1:12" ht="22.05" customHeight="1" x14ac:dyDescent="0.3">
      <c r="A9" s="2">
        <v>9</v>
      </c>
      <c r="B9" s="3" t="s">
        <v>21</v>
      </c>
      <c r="C9" s="2" t="s">
        <v>13</v>
      </c>
      <c r="D9" s="2" t="s">
        <v>13</v>
      </c>
      <c r="E9" s="2" t="s">
        <v>13</v>
      </c>
      <c r="F9" s="4">
        <v>2</v>
      </c>
      <c r="G9" s="4">
        <v>5</v>
      </c>
      <c r="H9" s="5">
        <f t="shared" si="0"/>
        <v>10</v>
      </c>
      <c r="I9" s="6"/>
      <c r="J9" s="6"/>
      <c r="K9" s="6"/>
      <c r="L9" s="6"/>
    </row>
    <row r="10" spans="1:12" ht="22.05" customHeight="1" x14ac:dyDescent="0.3">
      <c r="A10" s="2">
        <v>10</v>
      </c>
      <c r="B10" s="3" t="s">
        <v>22</v>
      </c>
      <c r="C10" s="2" t="s">
        <v>13</v>
      </c>
      <c r="D10" s="2" t="s">
        <v>13</v>
      </c>
      <c r="E10" s="2" t="s">
        <v>12</v>
      </c>
      <c r="F10" s="4">
        <v>2</v>
      </c>
      <c r="G10" s="4">
        <v>10</v>
      </c>
      <c r="H10" s="5">
        <f t="shared" si="0"/>
        <v>20</v>
      </c>
      <c r="I10" s="6"/>
      <c r="J10" s="6"/>
      <c r="K10" s="6"/>
      <c r="L10" s="6"/>
    </row>
    <row r="11" spans="1:12" ht="22.05" customHeight="1" x14ac:dyDescent="0.3">
      <c r="A11" s="2">
        <v>13</v>
      </c>
      <c r="B11" s="3" t="s">
        <v>23</v>
      </c>
      <c r="C11" s="2" t="s">
        <v>13</v>
      </c>
      <c r="D11" s="2" t="s">
        <v>13</v>
      </c>
      <c r="E11" s="2" t="s">
        <v>12</v>
      </c>
      <c r="F11" s="4">
        <v>2</v>
      </c>
      <c r="G11" s="4">
        <v>5</v>
      </c>
      <c r="H11" s="5">
        <f t="shared" si="0"/>
        <v>10</v>
      </c>
      <c r="I11" s="6"/>
      <c r="J11" s="6"/>
      <c r="K11" s="6"/>
      <c r="L11" s="6"/>
    </row>
    <row r="12" spans="1:12" ht="22.05" customHeight="1" x14ac:dyDescent="0.3">
      <c r="A12" s="2">
        <v>14</v>
      </c>
      <c r="B12" s="3" t="s">
        <v>24</v>
      </c>
      <c r="C12" s="2" t="s">
        <v>37</v>
      </c>
      <c r="D12" s="2" t="s">
        <v>13</v>
      </c>
      <c r="E12" s="2" t="s">
        <v>12</v>
      </c>
      <c r="F12" s="4"/>
      <c r="G12" s="4"/>
      <c r="H12" s="5" t="str">
        <f t="shared" si="0"/>
        <v/>
      </c>
      <c r="I12" s="6"/>
      <c r="J12" s="6"/>
      <c r="K12" s="6"/>
      <c r="L12" s="6"/>
    </row>
    <row r="13" spans="1:12" x14ac:dyDescent="0.3">
      <c r="G13" s="10">
        <f>SUM(G2:G12)</f>
        <v>100</v>
      </c>
      <c r="H13" s="9"/>
    </row>
    <row r="14" spans="1:12" ht="15.6" x14ac:dyDescent="0.3">
      <c r="B14" s="7" t="s">
        <v>25</v>
      </c>
    </row>
    <row r="15" spans="1:12" x14ac:dyDescent="0.3">
      <c r="B15" s="8" t="s">
        <v>26</v>
      </c>
    </row>
    <row r="16" spans="1:12" x14ac:dyDescent="0.3">
      <c r="B16" s="8"/>
    </row>
    <row r="17" spans="2:2" x14ac:dyDescent="0.3">
      <c r="B17" s="8" t="s">
        <v>27</v>
      </c>
    </row>
    <row r="18" spans="2:2" x14ac:dyDescent="0.3">
      <c r="B18" s="8" t="s">
        <v>28</v>
      </c>
    </row>
    <row r="19" spans="2:2" x14ac:dyDescent="0.3">
      <c r="B19" s="8" t="s">
        <v>29</v>
      </c>
    </row>
    <row r="20" spans="2:2" x14ac:dyDescent="0.3">
      <c r="B20" s="8" t="s">
        <v>30</v>
      </c>
    </row>
    <row r="21" spans="2:2" x14ac:dyDescent="0.3">
      <c r="B21" s="8"/>
    </row>
    <row r="22" spans="2:2" x14ac:dyDescent="0.3">
      <c r="B22" s="8" t="s">
        <v>31</v>
      </c>
    </row>
    <row r="23" spans="2:2" x14ac:dyDescent="0.3">
      <c r="B23" s="8" t="s">
        <v>32</v>
      </c>
    </row>
    <row r="24" spans="2:2" x14ac:dyDescent="0.3">
      <c r="B24" s="8"/>
    </row>
    <row r="25" spans="2:2" x14ac:dyDescent="0.3">
      <c r="B25" s="8" t="s">
        <v>33</v>
      </c>
    </row>
    <row r="26" spans="2:2" x14ac:dyDescent="0.3">
      <c r="B26" s="8" t="s">
        <v>34</v>
      </c>
    </row>
    <row r="27" spans="2:2" x14ac:dyDescent="0.3">
      <c r="B27" s="8" t="s">
        <v>35</v>
      </c>
    </row>
    <row r="28" spans="2:2" x14ac:dyDescent="0.3">
      <c r="B28" s="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مراحل تولید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ghiasi</cp:lastModifiedBy>
  <dcterms:created xsi:type="dcterms:W3CDTF">2026-09-23T14:01:02Z</dcterms:created>
  <dcterms:modified xsi:type="dcterms:W3CDTF">2026-09-23T14:18:32Z</dcterms:modified>
</cp:coreProperties>
</file>